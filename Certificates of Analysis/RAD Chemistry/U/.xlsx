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uckey\Kaleb\LIMS\Certificates of Analysis\RAD Chemistry\Template\"/>
    </mc:Choice>
  </mc:AlternateContent>
  <xr:revisionPtr revIDLastSave="0" documentId="13_ncr:1_{B175DEB8-8C03-4390-9402-172A9F3EE7AE}" xr6:coauthVersionLast="47" xr6:coauthVersionMax="47" xr10:uidLastSave="{00000000-0000-0000-0000-000000000000}"/>
  <bookViews>
    <workbookView xWindow="28680" yWindow="315" windowWidth="29040" windowHeight="15840" xr2:uid="{32C430E9-B18E-4965-A588-8610F9EDCDA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7" i="1"/>
  <c r="B29" i="1"/>
  <c r="A42" i="1" s="1"/>
</calcChain>
</file>

<file path=xl/sharedStrings.xml><?xml version="1.0" encoding="utf-8"?>
<sst xmlns="http://schemas.openxmlformats.org/spreadsheetml/2006/main" count="28" uniqueCount="27">
  <si>
    <t>Calibration Certificate Information</t>
  </si>
  <si>
    <t>Laboratory Operations</t>
  </si>
  <si>
    <t>Calculations</t>
  </si>
  <si>
    <t xml:space="preserve">Activity = </t>
  </si>
  <si>
    <t>dpm/g</t>
  </si>
  <si>
    <t>No Decay Correction</t>
  </si>
  <si>
    <t>Date</t>
  </si>
  <si>
    <t xml:space="preserve">Approved By: </t>
  </si>
  <si>
    <t xml:space="preserve">Calculated By: </t>
  </si>
  <si>
    <t xml:space="preserve">Expiration Date: </t>
  </si>
  <si>
    <t xml:space="preserve">To Activity Date: </t>
  </si>
  <si>
    <t xml:space="preserve">Decay Correction: </t>
  </si>
  <si>
    <t xml:space="preserve">Final Activity: </t>
  </si>
  <si>
    <t xml:space="preserve">Uncertainty: </t>
  </si>
  <si>
    <t xml:space="preserve">Initial Weight (g): </t>
  </si>
  <si>
    <t xml:space="preserve">Final Weight (g): </t>
  </si>
  <si>
    <t xml:space="preserve">Mass of Solution (g): </t>
  </si>
  <si>
    <t xml:space="preserve">Solution Prep Date: </t>
  </si>
  <si>
    <t xml:space="preserve">Source Activity Date: </t>
  </si>
  <si>
    <t xml:space="preserve">Source Volume (mL): </t>
  </si>
  <si>
    <t xml:space="preserve">Radionuclide: </t>
  </si>
  <si>
    <t xml:space="preserve">Source Activity (dpm): </t>
  </si>
  <si>
    <t>Dilution Solution Used:</t>
  </si>
  <si>
    <t>Principle Radionuclide:</t>
  </si>
  <si>
    <t>Half-Life (days):</t>
  </si>
  <si>
    <t xml:space="preserve">Source ID (SRS): </t>
  </si>
  <si>
    <t>Chemical Composition of Solution: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</si>
</sst>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venir Next LT Pro"/>
      <family val="2"/>
    </font>
    <font>
      <sz val="10"/>
      <color theme="1"/>
      <name val="Avenir Next LT Pro"/>
      <family val="2"/>
    </font>
    <font>
      <sz val="9"/>
      <color theme="1"/>
      <name val="Avenir Next LT Pro"/>
      <family val="2"/>
    </font>
    <font>
      <sz val="9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8"/>
      <color theme="1"/>
      <name val="Avenir Next LT Pro"/>
      <family val="2"/>
    </font>
    <font>
      <sz val="11"/>
      <color theme="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/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4" fontId="6" fillId="2" borderId="1" xfId="1" applyNumberFormat="1" applyFont="1" applyAlignment="1">
      <alignment horizontal="center" vertical="center"/>
    </xf>
    <xf numFmtId="0" fontId="6" fillId="2" borderId="1" xfId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5" fillId="2" borderId="1" xfId="1" applyNumberFormat="1" applyFont="1" applyAlignment="1">
      <alignment horizontal="center" vertical="center"/>
    </xf>
    <xf numFmtId="2" fontId="6" fillId="2" borderId="1" xfId="1" applyNumberFormat="1" applyFont="1" applyAlignment="1">
      <alignment horizontal="center" vertical="center"/>
    </xf>
    <xf numFmtId="14" fontId="5" fillId="2" borderId="1" xfId="1" applyNumberFormat="1" applyFont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1" xfId="1" applyNumberFormat="1" applyFont="1" applyAlignment="1">
      <alignment horizontal="center" vertical="center"/>
    </xf>
    <xf numFmtId="0" fontId="5" fillId="2" borderId="1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021F-8AD1-4F70-B4A0-75DD45BEC2B5}">
  <sheetPr>
    <pageSetUpPr fitToPage="1"/>
  </sheetPr>
  <dimension ref="A1:I46"/>
  <sheetViews>
    <sheetView tabSelected="1" view="pageLayout" topLeftCell="A14" zoomScale="145" zoomScaleNormal="100" zoomScalePageLayoutView="145" workbookViewId="0">
      <selection activeCell="D31" sqref="D31:F31"/>
    </sheetView>
  </sheetViews>
  <sheetFormatPr defaultRowHeight="15" x14ac:dyDescent="0.25"/>
  <cols>
    <col min="1" max="9" width="8.85546875" style="3" customWidth="1"/>
    <col min="10" max="16384" width="9.140625" style="3"/>
  </cols>
  <sheetData>
    <row r="1" spans="1:9" x14ac:dyDescent="0.25">
      <c r="A1" s="12" t="s">
        <v>23</v>
      </c>
      <c r="B1" s="12"/>
      <c r="C1" s="12"/>
      <c r="D1" s="2"/>
      <c r="E1" s="2"/>
      <c r="F1" s="2"/>
      <c r="G1" s="12" t="s">
        <v>24</v>
      </c>
      <c r="H1" s="12"/>
      <c r="I1" s="12"/>
    </row>
    <row r="2" spans="1:9" x14ac:dyDescent="0.25">
      <c r="A2" s="19"/>
      <c r="B2" s="20"/>
      <c r="C2" s="21"/>
      <c r="D2" s="2"/>
      <c r="E2" s="2"/>
      <c r="F2" s="2"/>
      <c r="G2" s="22"/>
      <c r="H2" s="22"/>
      <c r="I2" s="2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4" t="s">
        <v>0</v>
      </c>
      <c r="B5" s="4"/>
      <c r="C5" s="4"/>
      <c r="D5" s="4"/>
      <c r="E5" s="4"/>
      <c r="F5" s="4"/>
    </row>
    <row r="7" spans="1:9" x14ac:dyDescent="0.25">
      <c r="A7" s="9" t="s">
        <v>20</v>
      </c>
      <c r="B7" s="9"/>
      <c r="C7" s="23">
        <f>A2</f>
        <v>0</v>
      </c>
      <c r="D7" s="23"/>
      <c r="E7" s="2"/>
      <c r="F7" s="9" t="s">
        <v>19</v>
      </c>
      <c r="G7" s="10"/>
      <c r="H7" s="16"/>
      <c r="I7" s="16"/>
    </row>
    <row r="8" spans="1:9" x14ac:dyDescent="0.25">
      <c r="A8" s="9" t="s">
        <v>25</v>
      </c>
      <c r="B8" s="9"/>
      <c r="C8" s="16"/>
      <c r="D8" s="16"/>
      <c r="E8" s="2"/>
      <c r="F8" s="9" t="s">
        <v>18</v>
      </c>
      <c r="G8" s="10"/>
      <c r="H8" s="18"/>
      <c r="I8" s="18"/>
    </row>
    <row r="9" spans="1:9" x14ac:dyDescent="0.25">
      <c r="A9" s="9" t="s">
        <v>21</v>
      </c>
      <c r="B9" s="9"/>
      <c r="C9" s="16"/>
      <c r="D9" s="16"/>
      <c r="E9" s="2"/>
      <c r="F9" s="9" t="s">
        <v>17</v>
      </c>
      <c r="G9" s="10"/>
      <c r="H9" s="18"/>
      <c r="I9" s="18"/>
    </row>
    <row r="10" spans="1:9" x14ac:dyDescent="0.25">
      <c r="A10" s="2"/>
      <c r="B10" s="2"/>
      <c r="D10" s="2"/>
      <c r="E10" s="2"/>
      <c r="F10" s="2"/>
      <c r="G10" s="2"/>
      <c r="H10" s="2"/>
      <c r="I10" s="2"/>
    </row>
    <row r="11" spans="1:9" x14ac:dyDescent="0.25">
      <c r="A11" s="24" t="s">
        <v>26</v>
      </c>
      <c r="B11" s="24"/>
      <c r="C11" s="24"/>
      <c r="D11" s="23"/>
      <c r="E11" s="23"/>
      <c r="F11" s="23"/>
      <c r="G11" s="23"/>
      <c r="H11" s="23"/>
      <c r="I11" s="23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4" t="s">
        <v>1</v>
      </c>
      <c r="B13" s="4"/>
      <c r="C13" s="4"/>
      <c r="D13" s="4"/>
      <c r="E13" s="4"/>
      <c r="F13" s="4"/>
    </row>
    <row r="15" spans="1:9" x14ac:dyDescent="0.25">
      <c r="A15" s="9" t="s">
        <v>14</v>
      </c>
      <c r="B15" s="9"/>
      <c r="C15" s="16"/>
      <c r="D15" s="16"/>
      <c r="F15" s="11" t="s">
        <v>22</v>
      </c>
      <c r="G15" s="11"/>
    </row>
    <row r="16" spans="1:9" x14ac:dyDescent="0.25">
      <c r="A16" s="9" t="s">
        <v>15</v>
      </c>
      <c r="B16" s="9"/>
      <c r="C16" s="16"/>
      <c r="D16" s="16"/>
      <c r="F16" s="23"/>
      <c r="G16" s="23"/>
      <c r="H16" s="23"/>
      <c r="I16" s="23"/>
    </row>
    <row r="17" spans="1:9" x14ac:dyDescent="0.25">
      <c r="A17" s="9" t="s">
        <v>16</v>
      </c>
      <c r="B17" s="9"/>
      <c r="C17" s="16"/>
      <c r="D17" s="16"/>
      <c r="F17" s="23"/>
      <c r="G17" s="23"/>
      <c r="H17" s="23"/>
      <c r="I17" s="23"/>
    </row>
    <row r="20" spans="1:9" x14ac:dyDescent="0.25">
      <c r="A20" s="4" t="s">
        <v>2</v>
      </c>
      <c r="B20" s="4"/>
      <c r="C20" s="4"/>
      <c r="D20" s="4"/>
      <c r="E20" s="4"/>
      <c r="F20" s="4"/>
    </row>
    <row r="29" spans="1:9" x14ac:dyDescent="0.25">
      <c r="B29" s="7" t="str">
        <f>IF(A2="Ra-226",1,IF(A2="Th-229",0.9952,IF(A2="Th-230",0.9982,IF(A2="U-234",0.998,IF(A2="U-235",0.809,IF(A2="U-238",1.002,IF(A2="U-232",0.998,"Please enter valid isotope.")))))))</f>
        <v>Please enter valid isotope.</v>
      </c>
    </row>
    <row r="31" spans="1:9" x14ac:dyDescent="0.25">
      <c r="C31" s="1" t="s">
        <v>3</v>
      </c>
      <c r="D31" s="23" t="e">
        <f>ROUND(C9/C17, 2)</f>
        <v>#DIV/0!</v>
      </c>
      <c r="E31" s="23"/>
      <c r="F31" s="23"/>
      <c r="G31" s="1" t="s">
        <v>4</v>
      </c>
      <c r="H31" s="5"/>
    </row>
    <row r="32" spans="1:9" x14ac:dyDescent="0.25">
      <c r="D32" s="15" t="s">
        <v>5</v>
      </c>
      <c r="E32" s="15"/>
      <c r="F32" s="15"/>
    </row>
    <row r="34" spans="1:9" x14ac:dyDescent="0.25">
      <c r="A34" s="9" t="s">
        <v>11</v>
      </c>
      <c r="B34" s="9"/>
      <c r="C34" s="17"/>
      <c r="D34" s="17"/>
      <c r="F34" s="9" t="s">
        <v>10</v>
      </c>
      <c r="G34" s="9"/>
      <c r="H34" s="13"/>
      <c r="I34" s="13"/>
    </row>
    <row r="35" spans="1:9" x14ac:dyDescent="0.25">
      <c r="A35" s="9" t="s">
        <v>12</v>
      </c>
      <c r="B35" s="9"/>
      <c r="C35" s="17"/>
      <c r="D35" s="17"/>
      <c r="F35" s="9" t="s">
        <v>9</v>
      </c>
      <c r="G35" s="9"/>
      <c r="H35" s="13"/>
      <c r="I35" s="13"/>
    </row>
    <row r="36" spans="1:9" x14ac:dyDescent="0.25">
      <c r="A36" s="9" t="s">
        <v>13</v>
      </c>
      <c r="B36" s="9"/>
      <c r="C36" s="14"/>
      <c r="D36" s="14"/>
    </row>
    <row r="38" spans="1:9" x14ac:dyDescent="0.25">
      <c r="A38" s="5"/>
      <c r="B38" s="9" t="s">
        <v>8</v>
      </c>
      <c r="C38" s="9"/>
      <c r="D38" s="14"/>
      <c r="E38" s="14"/>
      <c r="F38" s="6" t="s">
        <v>6</v>
      </c>
      <c r="G38" s="13"/>
      <c r="H38" s="13"/>
      <c r="I38" s="5"/>
    </row>
    <row r="39" spans="1:9" x14ac:dyDescent="0.25">
      <c r="A39" s="5"/>
      <c r="B39" s="6"/>
      <c r="C39" s="6"/>
      <c r="E39" s="5"/>
      <c r="F39" s="6"/>
      <c r="G39" s="5"/>
      <c r="H39" s="5"/>
      <c r="I39" s="5"/>
    </row>
    <row r="40" spans="1:9" x14ac:dyDescent="0.25">
      <c r="A40" s="5"/>
      <c r="B40" s="9" t="s">
        <v>7</v>
      </c>
      <c r="C40" s="9"/>
      <c r="D40" s="14"/>
      <c r="E40" s="14"/>
      <c r="F40" s="6" t="s">
        <v>6</v>
      </c>
      <c r="G40" s="13"/>
      <c r="H40" s="13"/>
      <c r="I40" s="5"/>
    </row>
    <row r="42" spans="1:9" ht="15" customHeight="1" x14ac:dyDescent="0.25">
      <c r="A42" s="8" t="e">
        <f>"SRS "&amp;C8&amp;" from Eckert and Ziegler (source vendor) states that the activity of "&amp;A2&amp;" as "&amp;(C9/60)&amp;" becquerels (Bq). The activity is converted to disintegrations per minute (dpm) by multiplying 60 dpm / 1 Bq to achieve "&amp;C9&amp;" dpm. " &amp;IF(A2="Ba-133", "Ba-133 three energy lines (81.000, 302.840, 356.005) with respective percent yields of 32.97, 17.79, 60.5 are multiplied by " &amp; C9/60 &amp; " to derive the totals " &amp; ROUND((C9/60)*0.3297, 2) &amp; ", " &amp; ROUND((C9/60)*0.1779, 2) &amp; ", and " &amp; ROUND((C9/60)*0.605, 2) &amp; " gps, which are divided by " &amp; C17 &amp; " grams to achieve " &amp; ROUND(((C9/60)*0.3297)/C17, 2) &amp; ", " &amp; ROUND(((C9/60)*0.1779)/C17, 2) &amp; ", and " &amp; ROUND(((C9/60)*0.605)/C17, 2) &amp; " gps/g.", "The activity is then used to derive APEX certification value by multiplying " &amp; C9/60 &amp; " Bq by " &amp; B29 &amp; " abundance (" &amp; B29*100 &amp; "% from Kocher radioactive decay tables) divided by " &amp; C17 &amp; " grams (mass of solution) to achieve " &amp; ROUND((C9/60 * B29) / C17, 4) &amp; " aps/g respectively.")</f>
        <v>#VALUE!</v>
      </c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8"/>
      <c r="I46" s="8"/>
    </row>
  </sheetData>
  <mergeCells count="45">
    <mergeCell ref="A11:C11"/>
    <mergeCell ref="D11:I11"/>
    <mergeCell ref="A2:C2"/>
    <mergeCell ref="G2:I2"/>
    <mergeCell ref="D31:F31"/>
    <mergeCell ref="F7:G7"/>
    <mergeCell ref="A7:B7"/>
    <mergeCell ref="A8:B8"/>
    <mergeCell ref="A9:B9"/>
    <mergeCell ref="C7:D7"/>
    <mergeCell ref="C8:D8"/>
    <mergeCell ref="C9:D9"/>
    <mergeCell ref="F16:I17"/>
    <mergeCell ref="A15:B15"/>
    <mergeCell ref="A16:B16"/>
    <mergeCell ref="A17:B17"/>
    <mergeCell ref="C15:D15"/>
    <mergeCell ref="C16:D16"/>
    <mergeCell ref="F34:G34"/>
    <mergeCell ref="F35:G35"/>
    <mergeCell ref="H7:I7"/>
    <mergeCell ref="H8:I8"/>
    <mergeCell ref="H9:I9"/>
    <mergeCell ref="C17:D17"/>
    <mergeCell ref="A35:B35"/>
    <mergeCell ref="A36:B36"/>
    <mergeCell ref="C34:D34"/>
    <mergeCell ref="C35:D35"/>
    <mergeCell ref="C36:D36"/>
    <mergeCell ref="A42:I46"/>
    <mergeCell ref="F8:G8"/>
    <mergeCell ref="F9:G9"/>
    <mergeCell ref="F15:G15"/>
    <mergeCell ref="A1:C1"/>
    <mergeCell ref="G1:I1"/>
    <mergeCell ref="H34:I34"/>
    <mergeCell ref="H35:I35"/>
    <mergeCell ref="B38:C38"/>
    <mergeCell ref="B40:C40"/>
    <mergeCell ref="D38:E38"/>
    <mergeCell ref="D40:E40"/>
    <mergeCell ref="G38:H38"/>
    <mergeCell ref="G40:H40"/>
    <mergeCell ref="D32:F32"/>
    <mergeCell ref="A34:B34"/>
  </mergeCells>
  <pageMargins left="0.95" right="0.95" top="0.8" bottom="0.8" header="0" footer="0.3"/>
  <pageSetup orientation="portrait" r:id="rId1"/>
  <headerFooter>
    <oddHeader>&amp;L&amp;G&amp;C&amp;"Avenir Next LT Pro Demi,Regular"
LCS Certificate of Analysis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Gordon</dc:creator>
  <cp:lastModifiedBy>Kaleb Gordon</cp:lastModifiedBy>
  <dcterms:created xsi:type="dcterms:W3CDTF">2024-06-07T18:38:53Z</dcterms:created>
  <dcterms:modified xsi:type="dcterms:W3CDTF">2024-06-12T19:30:05Z</dcterms:modified>
</cp:coreProperties>
</file>