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ummary Statistics" sheetId="2" r:id="rId2"/>
  </sheets>
  <calcPr calcId="124519" fullCalcOnLoad="1"/>
</workbook>
</file>

<file path=xl/sharedStrings.xml><?xml version="1.0" encoding="utf-8"?>
<sst xmlns="http://schemas.openxmlformats.org/spreadsheetml/2006/main" count="48" uniqueCount="48">
  <si>
    <t>SDG</t>
  </si>
  <si>
    <t>BatchID</t>
  </si>
  <si>
    <t>Method</t>
  </si>
  <si>
    <t>SampleID</t>
  </si>
  <si>
    <t>Matrix</t>
  </si>
  <si>
    <t>ResultType</t>
  </si>
  <si>
    <t>Detector</t>
  </si>
  <si>
    <t>Geometry</t>
  </si>
  <si>
    <t>AcquisitionStartDateTime</t>
  </si>
  <si>
    <t>AnalysisDateTime</t>
  </si>
  <si>
    <t>Livetime</t>
  </si>
  <si>
    <t>EnergyDateTime</t>
  </si>
  <si>
    <t>EfficiencyDateTime</t>
  </si>
  <si>
    <t>SampleDateTime</t>
  </si>
  <si>
    <t>SampleSize</t>
  </si>
  <si>
    <t>SampleSizeUnits</t>
  </si>
  <si>
    <t>ActivityUnits</t>
  </si>
  <si>
    <t>ErrorMultiplier</t>
  </si>
  <si>
    <t>Analyte</t>
  </si>
  <si>
    <t>NuclideDetected</t>
  </si>
  <si>
    <t>Activity</t>
  </si>
  <si>
    <t>ActivityError</t>
  </si>
  <si>
    <t>MDA</t>
  </si>
  <si>
    <t>MDAError</t>
  </si>
  <si>
    <t>ActivityMDARatio</t>
  </si>
  <si>
    <t>Iteration</t>
  </si>
  <si>
    <t>Reporting</t>
  </si>
  <si>
    <t>24LL0001</t>
  </si>
  <si>
    <t>24LLB0002</t>
  </si>
  <si>
    <t>GammaSpec</t>
  </si>
  <si>
    <t>24LC14-FSS-30-T523-0909-009</t>
  </si>
  <si>
    <t>Soil</t>
  </si>
  <si>
    <t>REG</t>
  </si>
  <si>
    <t>DET02</t>
  </si>
  <si>
    <t>500MARSOIL</t>
  </si>
  <si>
    <t>grams</t>
  </si>
  <si>
    <t>pCi</t>
  </si>
  <si>
    <t>AC-227</t>
  </si>
  <si>
    <t>NO</t>
  </si>
  <si>
    <t>Summary Statistic</t>
  </si>
  <si>
    <t>Result</t>
  </si>
  <si>
    <t>Count</t>
  </si>
  <si>
    <t>Mean</t>
  </si>
  <si>
    <t>Standard Deviation</t>
  </si>
  <si>
    <t>2σ Upper Limit</t>
  </si>
  <si>
    <t>3σ Upper Limit</t>
  </si>
  <si>
    <t>2σ Lower Limit</t>
  </si>
  <si>
    <t>3σ Lower Limit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</si>
</sst>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/>
  </sheetViews>
  <sheetFormatPr defaultRowHeight="15"/>
  <cols>
    <col min="1" max="1" width="8.7109375" bestFit="1" customWidth="1"/>
    <col min="2" max="2" width="9.85546875" bestFit="1" customWidth="1"/>
    <col min="3" max="3" width="11.85546875" bestFit="1" customWidth="1"/>
    <col min="4" max="4" width="26.5703125" bestFit="1" customWidth="1"/>
    <col min="5" max="5" width="6.7109375" bestFit="1" customWidth="1"/>
    <col min="6" max="6" width="10.85546875" bestFit="1" customWidth="1"/>
    <col min="7" max="7" width="8.7109375" bestFit="1" customWidth="1"/>
    <col min="8" max="8" width="12" bestFit="1" customWidth="1"/>
    <col min="9" max="9" width="23.7109375" bestFit="1" customWidth="1"/>
    <col min="10" max="10" width="16.85546875" bestFit="1" customWidth="1"/>
    <col min="11" max="11" width="8.7109375" bestFit="1" customWidth="1"/>
    <col min="12" max="12" width="15.5703125" bestFit="1" customWidth="1"/>
    <col min="13" max="13" width="18.140625" bestFit="1" customWidth="1"/>
    <col min="14" max="14" width="16.140625" bestFit="1" customWidth="1"/>
    <col min="15" max="15" width="11.140625" bestFit="1" customWidth="1"/>
    <col min="16" max="16" width="15.7109375" bestFit="1" customWidth="1"/>
    <col min="17" max="17" width="12.28515625" bestFit="1" customWidth="1"/>
    <col min="18" max="18" width="14.140625" bestFit="1" customWidth="1"/>
    <col min="19" max="19" width="7.85546875" bestFit="1" customWidth="1"/>
    <col min="20" max="20" width="16" bestFit="1" customWidth="1"/>
    <col min="21" max="21" width="8" bestFit="1" customWidth="1"/>
    <col min="22" max="22" width="12" bestFit="1" customWidth="1"/>
    <col min="23" max="23" width="5.28515625" bestFit="1" customWidth="1"/>
    <col min="24" max="24" width="9.5703125" bestFit="1" customWidth="1"/>
    <col min="25" max="25" width="16.5703125" bestFit="1" customWidth="1"/>
    <col min="26" max="26" width="8.7109375" bestFit="1" customWidth="1"/>
    <col min="27" max="27" width="9.7109375" bestFit="1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45567.62222222222</v>
      </c>
      <c r="J2">
        <v>45567.66388888889</v>
      </c>
      <c r="K2">
        <v>3600</v>
      </c>
      <c r="L2">
        <v>45565.50208333333</v>
      </c>
      <c r="M2">
        <v>45565.50347222222</v>
      </c>
      <c r="N2">
        <v>45562.44444444445</v>
      </c>
      <c r="O2">
        <v>750</v>
      </c>
      <c r="P2" t="s">
        <v>35</v>
      </c>
      <c r="Q2" t="s">
        <v>36</v>
      </c>
      <c r="R2">
        <v>2</v>
      </c>
      <c r="S2" t="s">
        <v>37</v>
      </c>
      <c r="T2" t="s">
        <v>38</v>
      </c>
      <c r="U2">
        <v>-0.09089999999999999</v>
      </c>
      <c r="V2">
        <v>0.169</v>
      </c>
      <c r="W2">
        <v>0.28</v>
      </c>
      <c r="X2">
        <v>0.0218</v>
      </c>
      <c r="Y2">
        <v>-0.324</v>
      </c>
      <c r="Z2">
        <v>1</v>
      </c>
      <c r="AA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17.85546875" bestFit="1" customWidth="1"/>
    <col min="2" max="2" width="8" bestFit="1" customWidth="1"/>
  </cols>
  <sheetData>
    <row r="1" spans="1:2">
      <c r="A1" t="s">
        <v>39</v>
      </c>
      <c r="B1" t="s">
        <v>40</v>
      </c>
    </row>
    <row r="2" spans="1:2">
      <c r="A2" t="s">
        <v>41</v>
      </c>
      <c r="B2">
        <v>1</v>
      </c>
    </row>
    <row r="3" spans="1:2">
      <c r="A3" t="s">
        <v>42</v>
      </c>
      <c r="B3">
        <v>-0.09089999999999999</v>
      </c>
    </row>
    <row r="4" spans="1:2">
      <c r="A4" t="s">
        <v>43</v>
      </c>
      <c r="B4" t="e">
        <f>#NUM!</f>
        <v>#NUM!</v>
      </c>
    </row>
    <row r="5" spans="1:2">
      <c r="A5" t="s">
        <v>44</v>
      </c>
      <c r="B5" t="e">
        <f>#NUM!</f>
        <v>#NUM!</v>
      </c>
    </row>
    <row r="6" spans="1:2">
      <c r="A6" t="s">
        <v>45</v>
      </c>
      <c r="B6" t="e">
        <f>#NUM!</f>
        <v>#NUM!</v>
      </c>
    </row>
    <row r="7" spans="1:2">
      <c r="A7" t="s">
        <v>46</v>
      </c>
      <c r="B7" t="e">
        <f>#NUM!</f>
        <v>#NUM!</v>
      </c>
    </row>
    <row r="8" spans="1:2">
      <c r="A8" t="s">
        <v>47</v>
      </c>
      <c r="B8" t="e">
        <f>#NUM!</f>
        <v>#NUM!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 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2024-10-14T13:28:36Z</dcterms:created>
  <dcterms:modified xsi:type="dcterms:W3CDTF">2024-10-14T13:28:36Z</dcterms:modified>
</cp:coreProperties>
</file>